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货号</t>
        </is>
      </c>
      <c r="B1" s="1" t="inlineStr">
        <is>
          <t>条形码</t>
        </is>
      </c>
      <c r="C1" t="inlineStr">
        <is>
          <t>品名</t>
        </is>
      </c>
      <c r="D1" t="inlineStr">
        <is>
          <t>图片</t>
        </is>
      </c>
      <c r="E1" t="inlineStr">
        <is>
          <t>供应商</t>
        </is>
      </c>
      <c r="F1" t="inlineStr">
        <is>
          <t>计价单位</t>
        </is>
      </c>
      <c r="G1" t="inlineStr">
        <is>
          <t>采购单价（元）</t>
        </is>
      </c>
      <c r="H1" t="inlineStr">
        <is>
          <t>标准装箱数</t>
        </is>
      </c>
      <c r="I1" t="inlineStr">
        <is>
          <t>整件数</t>
        </is>
      </c>
      <c r="J1" t="inlineStr">
        <is>
          <t>散件数</t>
        </is>
      </c>
      <c r="K1" t="inlineStr">
        <is>
          <t>总数量</t>
        </is>
      </c>
      <c r="L1" t="inlineStr">
        <is>
          <t>货款合计（元）</t>
        </is>
      </c>
      <c r="M1" t="inlineStr">
        <is>
          <t>总体积（m³）</t>
        </is>
      </c>
    </row>
    <row r="2">
      <c r="A2" s="1" t="n"/>
      <c r="B2" s="1" t="n"/>
      <c r="J2" t="n">
        <v>0</v>
      </c>
      <c r="K2">
        <f>IF(COUNT(H2:J2)&lt;&gt;3,"",H2*I2+J2)</f>
        <v/>
      </c>
      <c r="L2">
        <f>IF(COUNT(G2,K2)&lt;&gt;2,"",G2*K2)</f>
        <v/>
      </c>
    </row>
    <row r="3">
      <c r="A3" s="1" t="inlineStr">
        <is>
          <t>DATA_END</t>
        </is>
      </c>
      <c r="B3" s="1" t="n"/>
    </row>
    <row r="4">
      <c r="A4" s="1" t="n"/>
      <c r="B4" s="1" t="n"/>
    </row>
    <row r="5">
      <c r="A5" s="1" t="inlineStr">
        <is>
          <t>合计</t>
        </is>
      </c>
      <c r="B5" s="1" t="n"/>
      <c r="I5">
        <f>SUM(I2:INDEX(I:I,MATCH("DATA_END",A:A,0)-1))</f>
        <v/>
      </c>
      <c r="L5">
        <f>IF(OR(COUNTA(A2:INDEX(A:A,MATCH("DATA_END",A:A,0)-1))=0,COUNT(L2:INDEX(L:L,MATCH("DATA_END",A:A,0)-1))&lt;&gt;COUNTA(A2:INDEX(A:A,MATCH("DATA_END",A:A,0)-1))),"",SUM(L2:INDEX(L:L,MATCH("DATA_END",A:A,0)-1)))</f>
        <v/>
      </c>
      <c r="M5">
        <f>SUM(M2:INDEX(M:M,MATCH("DATA_END",A:A,0)-1))</f>
        <v/>
      </c>
    </row>
    <row r="6">
      <c r="A6" s="1" t="inlineStr">
        <is>
          <t>打数合计</t>
        </is>
      </c>
      <c r="B6" s="1" t="n"/>
      <c r="F6" t="inlineStr">
        <is>
          <t>打</t>
        </is>
      </c>
      <c r="J6">
        <f>SUMIF(F2:INDEX(F:F,MATCH("DATA_END",A:A,0)-1),"打",J2:INDEX(J:J,MATCH("DATA_END",A:A,0)-1))</f>
        <v/>
      </c>
      <c r="K6">
        <f>SUMIF(F2:INDEX(F:F,MATCH("DATA_END",A:A,0)-1),"打",K2:INDEX(K:K,MATCH("DATA_END",A:A,0)-1))</f>
        <v/>
      </c>
    </row>
    <row r="7">
      <c r="A7" s="1" t="inlineStr">
        <is>
          <t>条数合计</t>
        </is>
      </c>
      <c r="B7" s="1" t="n"/>
      <c r="F7" t="inlineStr">
        <is>
          <t>条</t>
        </is>
      </c>
      <c r="J7">
        <f>SUMIF(F2:INDEX(F:F,MATCH("DATA_END",A:A,0)-1),"条",J2:INDEX(J:J,MATCH("DATA_END",A:A,0)-1))</f>
        <v/>
      </c>
      <c r="K7">
        <f>SUMIF(F2:INDEX(F:F,MATCH("DATA_END",A:A,0)-1),"条",K2:INDEX(K:K,MATCH("DATA_END",A:A,0)-1))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货柜号</t>
        </is>
      </c>
    </row>
    <row r="3">
      <c r="A3" t="inlineStr">
        <is>
          <t>发柜日期</t>
        </is>
      </c>
      <c r="B3" s="2" t="n"/>
      <c r="C3" t="inlineStr">
        <is>
          <t>实际发柜日期</t>
        </is>
      </c>
    </row>
    <row r="4">
      <c r="A4" t="inlineStr">
        <is>
          <t>ETA</t>
        </is>
      </c>
      <c r="B4" s="2" t="n"/>
      <c r="C4" t="inlineStr">
        <is>
          <t>预计到港日期</t>
        </is>
      </c>
    </row>
    <row r="5">
      <c r="A5" t="inlineStr">
        <is>
          <t>海运费</t>
        </is>
      </c>
      <c r="C5" t="inlineStr">
        <is>
          <t>USD，待补</t>
        </is>
      </c>
    </row>
    <row r="6">
      <c r="A6" t="inlineStr">
        <is>
          <t>内陆费</t>
        </is>
      </c>
      <c r="C6" t="inlineStr">
        <is>
          <t>CNY；厂家承担填0</t>
        </is>
      </c>
    </row>
    <row r="7">
      <c r="A7" t="inlineStr">
        <is>
          <t>卸柜费</t>
        </is>
      </c>
      <c r="B7" t="n">
        <v>125000</v>
      </c>
      <c r="C7" t="inlineStr">
        <is>
          <t>CLP，默认</t>
        </is>
      </c>
    </row>
    <row r="8">
      <c r="A8" t="inlineStr">
        <is>
          <t>清关杂费</t>
        </is>
      </c>
      <c r="B8" t="n">
        <v>1500000</v>
      </c>
      <c r="C8" t="inlineStr">
        <is>
          <t>CLP，暂估</t>
        </is>
      </c>
    </row>
    <row r="9">
      <c r="A9" t="inlineStr">
        <is>
          <t>USD-CLP</t>
        </is>
      </c>
      <c r="C9" t="inlineStr">
        <is>
          <t>CLP/USD</t>
        </is>
      </c>
    </row>
    <row r="10">
      <c r="A10" t="inlineStr">
        <is>
          <t>USD-CNY</t>
        </is>
      </c>
      <c r="C10" t="inlineStr">
        <is>
          <t>CNY/USD，中行现汇卖出价</t>
        </is>
      </c>
    </row>
    <row r="11">
      <c r="A11" t="inlineStr">
        <is>
          <t>CNY-CLP</t>
        </is>
      </c>
      <c r="B11">
        <f>IF(COUNT(B9,B10)&lt;&gt;2,"",(B9+12)/B10)</f>
        <v/>
      </c>
      <c r="C11" t="inlineStr">
        <is>
          <t>含12比索/美元手续费</t>
        </is>
      </c>
    </row>
    <row r="12">
      <c r="A12" t="inlineStr">
        <is>
          <t>IVA</t>
        </is>
      </c>
      <c r="B12">
        <f>IF(COUNT(INDEX(data!L:L,MATCH("合计",data!A:A,0)),B5,B9,B10)&lt;&gt;4,"",(INDEX(data!L:L,MATCH("合计",data!A:A,0))/B10+B5)*B9*0.3*0.19)</f>
        <v/>
      </c>
      <c r="C12" t="inlineStr">
        <is>
          <t>CLP，估算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2026-09-15T01:25:52Z</dcterms:created>
  <dcterms:modified xsi:type="dcterms:W3CDTF">2026-09-15T01:25:52Z</dcterms:modified>
</cp:coreProperties>
</file>