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f849c8195840b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" sheetId="1" r:id="R1aa2d856504d4224"/>
    <x:sheet xmlns:r="http://schemas.openxmlformats.org/officeDocument/2006/relationships" name="config" sheetId="2" r:id="Rb14e0fb461b843c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@"/>
    <x:numFmt numFmtId="201" formatCode="#,##0.00"/>
    <x:numFmt numFmtId="202" formatCode="#,##0"/>
    <x:numFmt numFmtId="203" formatCode="0.000000"/>
    <x:numFmt numFmtId="204" formatCode="yyyy-mm-dd"/>
  </x:numFmts>
  <x:fonts count="3">
    <x:font>
      <x:sz val="11"/>
      <x:name val="Carlito"/>
    </x:font>
    <x:font>
      <x:sz val="11"/>
      <x:color rgb="FF000000"/>
      <x:name val="Arial"/>
    </x:font>
    <x:font>
      <x:b/>
      <x:sz val="11"/>
      <x:color rgb="FF00000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FFFFFF"/>
      </x:patternFill>
    </x:fill>
  </x:fills>
  <x:borders count="2">
    <x:border/>
    <x:border>
      <x:left style="thin">
        <x:color rgb="FF777777"/>
      </x:left>
      <x:right style="thin">
        <x:color rgb="FF777777"/>
      </x:right>
      <x:top style="thin">
        <x:color rgb="FF777777"/>
      </x:top>
      <x:bottom style="thin">
        <x:color rgb="FF777777"/>
      </x:bottom>
    </x:border>
  </x:borders>
  <x:cellStyleXfs count="1">
    <x:xf numFmtId="0" fontId="0" fillId="0" borderId="0"/>
  </x:cellStyleXfs>
  <x:cellXfs count="1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/>
    </x:xf>
    <x:xf numFmtId="200" fontId="1" fillId="2" borderId="1" xfId="0" applyNumberFormat="1" applyFont="1" applyFill="1" applyBorder="1" applyAlignment="1">
      <x:alignment vertical="center"/>
    </x:xf>
    <x:xf numFmtId="201" fontId="1" fillId="2" borderId="1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/>
    </x:xf>
    <x:xf numFmtId="202" fontId="1" fillId="2" borderId="1" xfId="0" applyNumberFormat="1" applyFont="1" applyFill="1" applyBorder="1" applyAlignment="1">
      <x:alignment vertical="center"/>
    </x:xf>
    <x:xf numFmtId="202" fontId="1" fillId="2" borderId="0" xfId="0" applyNumberFormat="1" applyFont="1" applyFill="1" applyBorder="1" applyAlignment="1">
      <x:alignment vertical="center"/>
    </x:xf>
    <x:xf numFmtId="203" fontId="1" fillId="2" borderId="1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/>
    </x:xf>
    <x:xf numFmtId="201" fontId="2" fillId="2" borderId="0" xfId="0" applyNumberFormat="1" applyFont="1" applyFill="1" applyBorder="1" applyAlignment="1">
      <x:alignment vertical="center"/>
    </x:xf>
    <x:xf numFmtId="202" fontId="2" fillId="2" borderId="0" xfId="0" applyNumberFormat="1" applyFont="1" applyFill="1" applyBorder="1" applyAlignment="1">
      <x:alignment vertical="center"/>
    </x:xf>
    <x:xf numFmtId="203" fontId="2" fillId="2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3c9bc1285424a3f" /><Relationship Type="http://schemas.openxmlformats.org/officeDocument/2006/relationships/theme" Target="/xl/theme/theme1.xml" Id="Rc53b2637d8234225" /><Relationship Type="http://schemas.openxmlformats.org/officeDocument/2006/relationships/sharedStrings" Target="/xl/sharedStrings.xml" Id="R2bb468f49af34414" /><Relationship Type="http://schemas.openxmlformats.org/officeDocument/2006/relationships/worksheet" Target="/xl/worksheets/sheet1.xml" Id="R1aa2d856504d4224" /><Relationship Type="http://schemas.openxmlformats.org/officeDocument/2006/relationships/worksheet" Target="/xl/worksheets/sheet2.xml" Id="Rb14e0fb461b843c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22" hidden="0" customWidth="1"/>
    <x:col min="3" max="3" width="28" hidden="0" customWidth="1"/>
    <x:col min="4" max="4" width="16" hidden="0" customWidth="1"/>
    <x:col min="5" max="5" width="16" hidden="0" customWidth="1"/>
    <x:col min="6" max="6" width="12" hidden="0" customWidth="1"/>
    <x:col min="7" max="7" width="20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3" hidden="0" customWidth="1"/>
    <x:col min="13" max="13" width="23" hidden="0" customWidth="1"/>
  </x:cols>
  <x:sheetData>
    <x:row r="1" ht="42" customHeight="1">
      <x:c r="A1" s="6" t="str">
        <x:v>货号</x:v>
      </x:c>
      <x:c r="B1" s="6" t="str">
        <x:v>条形码</x:v>
      </x:c>
      <x:c r="C1" s="6" t="str">
        <x:v>品名</x:v>
      </x:c>
      <x:c r="D1" s="6" t="str">
        <x:v>图片</x:v>
      </x:c>
      <x:c r="E1" s="6" t="str">
        <x:v>供应商</x:v>
      </x:c>
      <x:c r="F1" s="6" t="str">
        <x:v>计价单位</x:v>
      </x:c>
      <x:c r="G1" s="6" t="str">
        <x:v>采购单价（元）</x:v>
      </x:c>
      <x:c r="H1" s="6" t="str">
        <x:v>标准装箱数</x:v>
      </x:c>
      <x:c r="I1" s="6" t="str">
        <x:v>整件数</x:v>
      </x:c>
      <x:c r="J1" s="6" t="str">
        <x:v>散件数</x:v>
      </x:c>
      <x:c r="K1" s="6" t="str">
        <x:v>总数量</x:v>
      </x:c>
      <x:c r="L1" s="6" t="str">
        <x:v>货款合计（元）</x:v>
      </x:c>
      <x:c r="M1" s="6" t="str">
        <x:v>总体积（m³）</x:v>
      </x:c>
    </x:row>
    <x:row r="2" ht="32" customHeight="1">
      <x:c r="A2" s="8"/>
      <x:c r="B2" s="8"/>
      <x:c r="C2" s="7"/>
      <x:c r="D2" s="7"/>
      <x:c r="E2" s="7"/>
      <x:c r="F2" s="7"/>
      <x:c r="G2" s="9"/>
      <x:c r="H2" s="11"/>
      <x:c r="I2" s="11"/>
      <x:c r="J2" s="11" t="n">
        <x:v>0</x:v>
      </x:c>
      <x:c r="K2" s="11" t="str">
        <x:f>IF(COUNT(H2:J2)&lt;&gt;3,"",H2*I2+J2)</x:f>
      </x:c>
      <x:c r="L2" s="9" t="str">
        <x:f>IF(COUNT(G2,K2)&lt;&gt;2,"",G2*K2)</x:f>
      </x:c>
      <x:c r="M2" s="13"/>
    </x:row>
    <x:row r="3" ht="32" customHeight="1">
      <x:c r="A3" s="7" t="str">
        <x:v>DATA_END</x:v>
      </x:c>
      <x:c r="B3" s="7"/>
      <x:c r="C3" s="7"/>
      <x:c r="D3" s="7"/>
      <x:c r="E3" s="7"/>
      <x:c r="F3" s="7"/>
      <x:c r="G3" s="9"/>
      <x:c r="H3" s="11"/>
      <x:c r="I3" s="11"/>
      <x:c r="J3" s="11"/>
      <x:c r="K3" s="11"/>
      <x:c r="L3" s="9"/>
      <x:c r="M3" s="13"/>
    </x:row>
    <x:row r="4" ht="32" customHeight="1">
      <x:c r="A4" s="3"/>
      <x:c r="B4" s="3"/>
      <x:c r="C4" s="3"/>
      <x:c r="D4" s="3"/>
      <x:c r="E4" s="3"/>
      <x:c r="F4" s="3"/>
      <x:c r="G4" s="10"/>
      <x:c r="H4" s="12"/>
      <x:c r="I4" s="12"/>
      <x:c r="J4" s="12"/>
      <x:c r="K4" s="12"/>
      <x:c r="L4" s="10"/>
      <x:c r="M4" s="14"/>
    </x:row>
    <x:row r="5" ht="32" customHeight="1">
      <x:c r="A5" s="4" t="str">
        <x:v>合计</x:v>
      </x:c>
      <x:c r="B5" s="4"/>
      <x:c r="C5" s="4"/>
      <x:c r="D5" s="4"/>
      <x:c r="E5" s="4"/>
      <x:c r="F5" s="4"/>
      <x:c r="G5" s="15"/>
      <x:c r="H5" s="16"/>
      <x:c r="I5" s="16" t="n">
        <x:f>SUM(I2:I2)</x:f>
        <x:v>0</x:v>
      </x:c>
      <x:c r="J5" s="16"/>
      <x:c r="K5" s="16"/>
      <x:c r="L5" s="15" t="str">
        <x:f>IF(OR(COUNTA(A2:A2)=0,COUNT(L2:L2)&lt;&gt;COUNTA(A2:A2)),"",SUM(L2:L2))</x:f>
      </x:c>
      <x:c r="M5" s="17" t="n">
        <x:f>SUM(M2:M2)</x:f>
        <x:v>0</x:v>
      </x:c>
    </x:row>
    <x:row r="6" ht="32" customHeight="1">
      <x:c r="A6" s="4" t="str">
        <x:v>打数合计</x:v>
      </x:c>
      <x:c r="B6" s="4"/>
      <x:c r="C6" s="4"/>
      <x:c r="D6" s="4"/>
      <x:c r="E6" s="4"/>
      <x:c r="F6" s="4" t="str">
        <x:v>打</x:v>
      </x:c>
      <x:c r="G6" s="15"/>
      <x:c r="H6" s="16"/>
      <x:c r="I6" s="16"/>
      <x:c r="J6" s="16" t="n">
        <x:f>SUMIF(F2:F2,"打",J2:J2)</x:f>
        <x:v>0</x:v>
      </x:c>
      <x:c r="K6" s="16" t="n">
        <x:f>SUMIF(F2:F2,"打",K2:K2)</x:f>
        <x:v>0</x:v>
      </x:c>
      <x:c r="L6" s="15"/>
      <x:c r="M6" s="17"/>
    </x:row>
    <x:row r="7" ht="32" customHeight="1">
      <x:c r="A7" s="4" t="str">
        <x:v>条数合计</x:v>
      </x:c>
      <x:c r="B7" s="4"/>
      <x:c r="C7" s="4"/>
      <x:c r="D7" s="4"/>
      <x:c r="E7" s="4"/>
      <x:c r="F7" s="4" t="str">
        <x:v>条</x:v>
      </x:c>
      <x:c r="G7" s="15"/>
      <x:c r="H7" s="16"/>
      <x:c r="I7" s="16"/>
      <x:c r="J7" s="16" t="n">
        <x:f>SUMIF(F2:F2,"条",J2:J2)</x:f>
        <x:v>0</x:v>
      </x:c>
      <x:c r="K7" s="16" t="n">
        <x:f>SUMIF(F2:F2,"条",K2:K2)</x:f>
        <x:v>0</x:v>
      </x:c>
      <x:c r="L7" s="15"/>
      <x:c r="M7" s="17"/>
    </x:row>
  </x:sheetData>
  <x:dataValidations count="1">
    <x:dataValidation type="list" sqref="F2">
      <x:formula1>"打,条"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5" hidden="0" customWidth="1"/>
    <x:col min="3" max="3" width="38" hidden="0" customWidth="1"/>
  </x:cols>
  <x:sheetData>
    <x:row r="1" ht="30" customHeight="1">
      <x:c r="A1" s="4" t="str">
        <x:v>参数</x:v>
      </x:c>
      <x:c r="B1" s="4" t="str">
        <x:v>值</x:v>
      </x:c>
      <x:c r="C1" s="4" t="str">
        <x:v>说明</x:v>
      </x:c>
    </x:row>
    <x:row r="2" ht="30" customHeight="1">
      <x:c r="A2" s="3" t="str">
        <x:v>货柜号</x:v>
      </x:c>
      <x:c r="B2" s="3"/>
      <x:c r="C2" s="3" t="str"/>
    </x:row>
    <x:row r="3" ht="30" customHeight="1">
      <x:c r="A3" s="3" t="str">
        <x:v>发柜日期</x:v>
      </x:c>
      <x:c r="B3" s="18"/>
      <x:c r="C3" s="3" t="str">
        <x:v>实际发柜日期</x:v>
      </x:c>
    </x:row>
    <x:row r="4" ht="30" customHeight="1">
      <x:c r="A4" s="3" t="str">
        <x:v>ETA</x:v>
      </x:c>
      <x:c r="B4" s="18"/>
      <x:c r="C4" s="3" t="str">
        <x:v>预计到港日期</x:v>
      </x:c>
    </x:row>
    <x:row r="5" ht="30" customHeight="1">
      <x:c r="A5" s="3" t="str">
        <x:v>海运费</x:v>
      </x:c>
      <x:c r="B5" s="10"/>
      <x:c r="C5" s="3" t="str">
        <x:v>USD，待补</x:v>
      </x:c>
    </x:row>
    <x:row r="6" ht="30" customHeight="1">
      <x:c r="A6" s="3" t="str">
        <x:v>内陆费</x:v>
      </x:c>
      <x:c r="B6" s="10"/>
      <x:c r="C6" s="3" t="str">
        <x:v>CNY；厂家承担填0</x:v>
      </x:c>
    </x:row>
    <x:row r="7" ht="30" customHeight="1">
      <x:c r="A7" s="3" t="str">
        <x:v>卸柜费</x:v>
      </x:c>
      <x:c r="B7" s="10" t="n">
        <x:v>125000</x:v>
      </x:c>
      <x:c r="C7" s="3" t="str">
        <x:v>CLP，默认</x:v>
      </x:c>
    </x:row>
    <x:row r="8" ht="30" customHeight="1">
      <x:c r="A8" s="3" t="str">
        <x:v>清关杂费</x:v>
      </x:c>
      <x:c r="B8" s="10" t="n">
        <x:v>1500000</x:v>
      </x:c>
      <x:c r="C8" s="3" t="str">
        <x:v>CLP，暂估</x:v>
      </x:c>
    </x:row>
    <x:row r="9" ht="30" customHeight="1">
      <x:c r="A9" s="3" t="str">
        <x:v>USD-CLP</x:v>
      </x:c>
      <x:c r="B9" s="14"/>
      <x:c r="C9" s="3" t="str">
        <x:v>CLP/USD</x:v>
      </x:c>
    </x:row>
    <x:row r="10" ht="30" customHeight="1">
      <x:c r="A10" s="3" t="str">
        <x:v>USD-CNY</x:v>
      </x:c>
      <x:c r="B10" s="14"/>
      <x:c r="C10" s="3" t="str">
        <x:v>CNY/USD，中行现汇卖出价</x:v>
      </x:c>
    </x:row>
    <x:row r="11" ht="30" customHeight="1">
      <x:c r="A11" s="3" t="str">
        <x:v>CNY-CLP</x:v>
      </x:c>
      <x:c r="B11" s="14" t="str">
        <x:f>IF(COUNT(B9:B10)&lt;&gt;2,"",(B9+12)/B10)</x:f>
      </x:c>
      <x:c r="C11" s="3" t="str">
        <x:v>含12比索/美元手续费</x:v>
      </x:c>
    </x:row>
    <x:row r="12" ht="30" customHeight="1">
      <x:c r="A12" s="3" t="str">
        <x:v>IVA</x:v>
      </x:c>
      <x:c r="B12" s="12" t="str">
        <x:f>IF(COUNT(data!L5,B5,B9:B10)&lt;&gt;4,"",(data!L5/B10+B5)*B9*0.3*0.19)</x:f>
      </x:c>
      <x:c r="C12" s="3" t="str">
        <x:v>CLP，估算</x:v>
      </x:c>
    </x:row>
  </x:sheetData>
  <x:pageMargins left="0.7" right="0.7" top="0.75" bottom="0.75" header="0.3" footer="0.3"/>
</x:worksheet>
</file>